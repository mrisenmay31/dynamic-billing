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isenmay docs\"/>
    </mc:Choice>
  </mc:AlternateContent>
  <xr:revisionPtr revIDLastSave="0" documentId="8_{A170C013-B13C-4872-8B44-6D51CA91DBB6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9" i="1" l="1"/>
  <c r="I45" i="1"/>
  <c r="I18" i="1"/>
  <c r="I100" i="1" s="1"/>
</calcChain>
</file>

<file path=xl/sharedStrings.xml><?xml version="1.0" encoding="utf-8"?>
<sst xmlns="http://schemas.openxmlformats.org/spreadsheetml/2006/main" count="551" uniqueCount="196">
  <si>
    <t>P&amp;L Business Services, LLC</t>
  </si>
  <si>
    <t>Time Activities by Client Detail</t>
  </si>
  <si>
    <t>April 2026</t>
  </si>
  <si>
    <t>Baine &amp; Company</t>
  </si>
  <si>
    <t>04/10/2026</t>
  </si>
  <si>
    <t>Abby N. Townsend</t>
  </si>
  <si>
    <t>Hourly Accounting services</t>
  </si>
  <si>
    <t>reviewing bank accounts and statements to make sure they match eachother</t>
  </si>
  <si>
    <t>00:15</t>
  </si>
  <si>
    <t>Yes</t>
  </si>
  <si>
    <t>04/17/2026</t>
  </si>
  <si>
    <t>Giovanni Sanchez</t>
  </si>
  <si>
    <t>2026 categorizing and recon.</t>
  </si>
  <si>
    <t>01:47</t>
  </si>
  <si>
    <t>04/20/2026</t>
  </si>
  <si>
    <t>bank trans &amp; recon</t>
  </si>
  <si>
    <t>03:50</t>
  </si>
  <si>
    <t>04/22/2026</t>
  </si>
  <si>
    <t>Victoria Wyres</t>
  </si>
  <si>
    <t>review</t>
  </si>
  <si>
    <t>00:47</t>
  </si>
  <si>
    <t>review, fixes, sending email with questions</t>
  </si>
  <si>
    <t>00:50</t>
  </si>
  <si>
    <t>04/28/2026</t>
  </si>
  <si>
    <t>fixing job costing</t>
  </si>
  <si>
    <t>00:32</t>
  </si>
  <si>
    <t>sending spreadsheet to tyler. deleting bank rules</t>
  </si>
  <si>
    <t>00:10</t>
  </si>
  <si>
    <t>ADDING SAVINGS 5124 AND JAN - MAR, ADDING SAVINGS 5208 RECON MAR. FIXING TRANSACTIONS THAT WERE IN LIMBO WAITING ON THESE ACCOUNTS TO BE ADDED. fixing ask my acc</t>
  </si>
  <si>
    <t>01:46</t>
  </si>
  <si>
    <t>clean up job costing</t>
  </si>
  <si>
    <t>00:20</t>
  </si>
  <si>
    <t>job costing</t>
  </si>
  <si>
    <t>01:28</t>
  </si>
  <si>
    <t>04/29/2026</t>
  </si>
  <si>
    <t>phone call with tyler</t>
  </si>
  <si>
    <t>00:08</t>
  </si>
  <si>
    <t>Total for Baine &amp; Company</t>
  </si>
  <si>
    <t>11:53</t>
  </si>
  <si>
    <t>Knox Physical Therapy</t>
  </si>
  <si>
    <t>04/01/2026</t>
  </si>
  <si>
    <t>Amy Snyder</t>
  </si>
  <si>
    <t>Payroll</t>
  </si>
  <si>
    <t>01:04</t>
  </si>
  <si>
    <t>04/03/2026</t>
  </si>
  <si>
    <t>Time entry adjustment, created new workbook for next week to add in mileage so I dont forget</t>
  </si>
  <si>
    <t>00:12</t>
  </si>
  <si>
    <t>04/07/2026</t>
  </si>
  <si>
    <t>Updated the vacation for employee, sent timesheets to Dr. E for approval</t>
  </si>
  <si>
    <t>00:09</t>
  </si>
  <si>
    <t>Was pulling timesheet for Dr. E approval but (1) was missing.  Sent email to employee &amp; Dr. E to see if he was on vacation last week and need to use his PTO.  Worked on workbook</t>
  </si>
  <si>
    <t>00:24</t>
  </si>
  <si>
    <t>Joseph Broome</t>
  </si>
  <si>
    <t>pto log</t>
  </si>
  <si>
    <t>00:35</t>
  </si>
  <si>
    <t>04/08/2026</t>
  </si>
  <si>
    <t>Entered work book and the time in QBO-still need approval on (2) reimbursements before finishing</t>
  </si>
  <si>
    <t>00:45</t>
  </si>
  <si>
    <t>Saved reimbursement and resent email to Dr. Easley with timesheets &amp; reimbursement.  Time entry adjustment</t>
  </si>
  <si>
    <t>04/09/2026</t>
  </si>
  <si>
    <t>00:40</t>
  </si>
  <si>
    <t>Added PTO for employee</t>
  </si>
  <si>
    <t>00:05</t>
  </si>
  <si>
    <t>Time entry change for an employee</t>
  </si>
  <si>
    <t>04/13/2026</t>
  </si>
  <si>
    <t>Time entry update for an employee</t>
  </si>
  <si>
    <t>00:07</t>
  </si>
  <si>
    <t>04/14/2026</t>
  </si>
  <si>
    <t>Sent timesheets to KS for approval, workbook</t>
  </si>
  <si>
    <t>00:30</t>
  </si>
  <si>
    <t>04/15/2026</t>
  </si>
  <si>
    <t>00:55</t>
  </si>
  <si>
    <t>04/21/2026</t>
  </si>
  <si>
    <t>pto logs</t>
  </si>
  <si>
    <t>Sent Dr. E timesheets for approval, qtrly muti location report submitted, checked some of the PTO hours</t>
  </si>
  <si>
    <t>01:31</t>
  </si>
  <si>
    <t>Time entry changes</t>
  </si>
  <si>
    <t>00:11</t>
  </si>
  <si>
    <t>Payroll workbook</t>
  </si>
  <si>
    <t>00:29</t>
  </si>
  <si>
    <t>Checked the hours in QBO &amp; submitted, did bank transfer</t>
  </si>
  <si>
    <t>04/23/2026</t>
  </si>
  <si>
    <t>Finished payroll reports</t>
  </si>
  <si>
    <t>00:34</t>
  </si>
  <si>
    <t>04/24/2026</t>
  </si>
  <si>
    <t>Clocked in employee and removed the in correct notes from her timesheets</t>
  </si>
  <si>
    <t>04/27/2026</t>
  </si>
  <si>
    <t>Pulled timesheets for Dr. E to approve and sent to him</t>
  </si>
  <si>
    <t>Update pay amounts per LE email</t>
  </si>
  <si>
    <t>Time entry adjustment for employee, created workbook for this weeks payroll</t>
  </si>
  <si>
    <t>00:25</t>
  </si>
  <si>
    <t>Entered times into QBO-still need 1 approval before finalizing</t>
  </si>
  <si>
    <t>04/30/2026</t>
  </si>
  <si>
    <t>Finalize payroll, added employee time</t>
  </si>
  <si>
    <t>00:44</t>
  </si>
  <si>
    <t>Total for Knox Physical Therapy</t>
  </si>
  <si>
    <t>11:48</t>
  </si>
  <si>
    <t>Knoxville Title Agency LLC</t>
  </si>
  <si>
    <t>Lea A. Sanford</t>
  </si>
  <si>
    <t>billing</t>
  </si>
  <si>
    <t>pos pay</t>
  </si>
  <si>
    <t>04/02/2026</t>
  </si>
  <si>
    <t>Payroll workbook and calculated garnishment-still have a Q before finalizing</t>
  </si>
  <si>
    <t>Looking up medical deduction/contribution for employee and making changes</t>
  </si>
  <si>
    <t>00:16</t>
  </si>
  <si>
    <t>Finish processing payroll</t>
  </si>
  <si>
    <t>00:46</t>
  </si>
  <si>
    <t>pos pay and bill pay</t>
  </si>
  <si>
    <t>00:04</t>
  </si>
  <si>
    <t>04/06/2026</t>
  </si>
  <si>
    <t>March recon and draft financials</t>
  </si>
  <si>
    <t>01:09</t>
  </si>
  <si>
    <t>Setting up this weeks workbook so that I could add CR reimbursement to it.</t>
  </si>
  <si>
    <t>POS PAY, ENTER AND PAYING BILLS</t>
  </si>
  <si>
    <t>01:03</t>
  </si>
  <si>
    <t>Checking to see if I had to file qtrly returns-but they are set up on auto</t>
  </si>
  <si>
    <t>looking at the health insurance deductions</t>
  </si>
  <si>
    <t>Payroll workbook-have a deduction question before finishing.  Garnishment calculation</t>
  </si>
  <si>
    <t>00:53</t>
  </si>
  <si>
    <t>pos pay, updating financials and replying to chase's email, phone call, bill entering</t>
  </si>
  <si>
    <t>02:01</t>
  </si>
  <si>
    <t>Resend the bonus payroll</t>
  </si>
  <si>
    <t>00:22</t>
  </si>
  <si>
    <t>pos pay and entering reginique to his ACH template</t>
  </si>
  <si>
    <t>00:06</t>
  </si>
  <si>
    <t>payroll with amy, setting up jimmy's regular pay</t>
  </si>
  <si>
    <t>Run payroll</t>
  </si>
  <si>
    <t>01:14</t>
  </si>
  <si>
    <t>Looking at the time for KP and giving my explanation on the pay.  Bonus payroll</t>
  </si>
  <si>
    <t>00:37</t>
  </si>
  <si>
    <t>JR ACH payment and GJ entry to go with it</t>
  </si>
  <si>
    <t>pos pay, email/research on return ach</t>
  </si>
  <si>
    <t>00:18</t>
  </si>
  <si>
    <t>pos pay, paid bills, email follow ups</t>
  </si>
  <si>
    <t>00:56</t>
  </si>
  <si>
    <t>00:02</t>
  </si>
  <si>
    <t>classification</t>
  </si>
  <si>
    <t>02:03</t>
  </si>
  <si>
    <t>p&amp;L classifying</t>
  </si>
  <si>
    <t>pos pay, bill.com, bank transactions,</t>
  </si>
  <si>
    <t>00:23</t>
  </si>
  <si>
    <t>04/16/2026</t>
  </si>
  <si>
    <t>Talked to BP on the phone, back and forth emails with BP about employee info and KP about w4 adjustments.  needed to confirm a bonus.  Process payroll</t>
  </si>
  <si>
    <t>02:16</t>
  </si>
  <si>
    <t>TPP Audit</t>
  </si>
  <si>
    <t>pos pay, bill pay</t>
  </si>
  <si>
    <t>00:36</t>
  </si>
  <si>
    <t>Positive pay</t>
  </si>
  <si>
    <t>ACH payment and entered into QBO</t>
  </si>
  <si>
    <t>00:26</t>
  </si>
  <si>
    <t>AS said a positive pay had come via email-checked the bank account and nothing there.  Reminder from earlier today?</t>
  </si>
  <si>
    <t>04/19/2026</t>
  </si>
  <si>
    <t>Q1 financials</t>
  </si>
  <si>
    <t>02:08</t>
  </si>
  <si>
    <t>Amber L. Sanchez</t>
  </si>
  <si>
    <t>emailing about registered agent letter.</t>
  </si>
  <si>
    <t>00:14</t>
  </si>
  <si>
    <t>added CR reimbursement to the workbook</t>
  </si>
  <si>
    <t>work meeting etc</t>
  </si>
  <si>
    <t>02:41</t>
  </si>
  <si>
    <t>Processed the payroll-but did not do the ACH yet-waiting till late tomorrow in case of changes</t>
  </si>
  <si>
    <t>01:12</t>
  </si>
  <si>
    <t>more emails came about positive pay, checked bank account but nothing is showing</t>
  </si>
  <si>
    <t>Looking into the positive pay and why they are not showing up</t>
  </si>
  <si>
    <t>00:21</t>
  </si>
  <si>
    <t>ACH  for payroll, look up a few items for CR, pulled new employee info and entered new employee</t>
  </si>
  <si>
    <t>Logged in to make sure that no positive pays needed to be approved, looked at employee's adjusted W4-have questions as I do not think it is completed correctly.  I sent her an email</t>
  </si>
  <si>
    <t>Positive pay approvals, saved a copy of garnishment release and sent to CR &amp; BP then mailed original to the employee per CR request, changed new employees email and resent invite,</t>
  </si>
  <si>
    <t>00:49</t>
  </si>
  <si>
    <t>04/25/2026</t>
  </si>
  <si>
    <t>helping employee update their W4</t>
  </si>
  <si>
    <t>check for positive pay as an email came through-none there.  Updated employee W4 withholding</t>
  </si>
  <si>
    <t>Positive pay, large amount asked CR for approval</t>
  </si>
  <si>
    <t>Checked to see if any positive pays needed approval-none</t>
  </si>
  <si>
    <t>checking for positive pay-none</t>
  </si>
  <si>
    <t>check for any positive pay</t>
  </si>
  <si>
    <t>00:03</t>
  </si>
  <si>
    <t>Checking for any positive pays that need approved, added a couple of expenses to be reimbursed to the workbook</t>
  </si>
  <si>
    <t>payroll workbook</t>
  </si>
  <si>
    <t>ACH and pos pay</t>
  </si>
  <si>
    <t>00:59</t>
  </si>
  <si>
    <t>Process payroll, added PTO to everyone</t>
  </si>
  <si>
    <t>01:00</t>
  </si>
  <si>
    <t>Total for Knoxville Title Agency LLC</t>
  </si>
  <si>
    <t>31:34</t>
  </si>
  <si>
    <t>TOTAL</t>
  </si>
  <si>
    <t>55:15</t>
  </si>
  <si>
    <t>Activity date</t>
  </si>
  <si>
    <t>Employee</t>
  </si>
  <si>
    <t>Product/Service full name</t>
  </si>
  <si>
    <t>Description</t>
  </si>
  <si>
    <t>Rates</t>
  </si>
  <si>
    <t>Duration</t>
  </si>
  <si>
    <t>Billable (Y/N)</t>
  </si>
  <si>
    <t>Amount</t>
  </si>
  <si>
    <t xml:space="preserve"> Wednesday, May 13, 2026 12:40 PM GMT-04:00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</si>
</sst>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1" fillId="0" borderId="1"/>
    <xf numFmtId="0" fontId="1" fillId="0" borderId="0"/>
    <xf numFmtId="0" fontId="1" fillId="0" borderId="2"/>
  </cellStyleXfs>
  <cellXfs count="15">
    <xf numFmtId="0" fontId="0" fillId="0" borderId="0" xfId="0"/>
    <xf numFmtId="0" fontId="2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7" fillId="0" borderId="1" xfId="1" applyFont="1" applyAlignment="1">
      <alignment horizontal="center" wrapText="1"/>
    </xf>
    <xf numFmtId="4" fontId="2" fillId="0" borderId="0" xfId="0" applyNumberFormat="1" applyFont="1" applyAlignment="1">
      <alignment wrapText="1"/>
    </xf>
    <xf numFmtId="0" fontId="3" fillId="0" borderId="2" xfId="0" applyFont="1" applyBorder="1" applyAlignment="1">
      <alignment wrapText="1"/>
    </xf>
    <xf numFmtId="164" fontId="3" fillId="0" borderId="2" xfId="0" applyNumberFormat="1" applyFont="1" applyBorder="1" applyAlignment="1">
      <alignment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2" xfId="0" applyFont="1" applyBorder="1" applyAlignment="1">
      <alignment horizontal="left" wrapText="1"/>
    </xf>
  </cellXfs>
  <cellStyles count="4">
    <cellStyle name="GroupedCellStyle" xfId="2" xr:uid="{00000000-0005-0000-0000-000007000000}"/>
    <cellStyle name="HeaderCellStyle" xfId="1" xr:uid="{00000000-0005-0000-0000-000006000000}"/>
    <cellStyle name="Normal" xfId="0" builtinId="0"/>
    <cellStyle name="TotalCellStyle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3FEF-A70D-B944-82F4-C9836B181100}">
  <dimension ref="A1:I104"/>
  <sheetViews>
    <sheetView tabSelected="1" topLeftCell="A80" workbookViewId="0">
      <selection sqref="A1:H1"/>
    </sheetView>
  </sheetViews>
  <sheetFormatPr defaultColWidth="11.25" defaultRowHeight="15.75" x14ac:dyDescent="0.25"/>
  <cols>
    <col min="1" max="1" width="31.625" style="7" customWidth="1"/>
    <col min="2" max="2" width="11.75" style="7" customWidth="1"/>
    <col min="3" max="3" width="14.375" style="7" customWidth="1"/>
    <col min="4" max="4" width="23" style="7" customWidth="1"/>
    <col min="5" max="5" width="86.625" style="7" customWidth="1"/>
    <col min="6" max="7" width="7.5" style="7" customWidth="1"/>
    <col min="8" max="8" width="12.625" style="7" customWidth="1"/>
    <col min="9" max="9" width="16.125" style="7" customWidth="1"/>
  </cols>
  <sheetData>
    <row r="1" spans="1:9" x14ac:dyDescent="0.25">
      <c r="A1" s="5" t="s">
        <v>0</v>
      </c>
      <c r="B1" s="4"/>
      <c r="C1" s="4"/>
      <c r="D1" s="4"/>
      <c r="E1" s="4"/>
      <c r="F1" s="4"/>
      <c r="G1" s="4"/>
      <c r="H1" s="4"/>
    </row>
    <row r="2" spans="1:9" x14ac:dyDescent="0.25">
      <c r="A2" s="3" t="s">
        <v>1</v>
      </c>
      <c r="B2" s="4"/>
      <c r="C2" s="4"/>
      <c r="D2" s="4"/>
      <c r="E2" s="4"/>
      <c r="F2" s="4"/>
      <c r="G2" s="4"/>
      <c r="H2" s="4"/>
    </row>
    <row r="3" spans="1:9" x14ac:dyDescent="0.25">
      <c r="A3" s="2" t="s">
        <v>2</v>
      </c>
      <c r="B3" s="4"/>
      <c r="C3" s="4"/>
      <c r="D3" s="4"/>
      <c r="E3" s="4"/>
      <c r="F3" s="4"/>
      <c r="G3" s="4"/>
      <c r="H3" s="4"/>
    </row>
    <row r="5" spans="1:9" x14ac:dyDescent="0.25">
      <c r="B5" s="8" t="s">
        <v>187</v>
      </c>
      <c r="C5" s="8" t="s">
        <v>188</v>
      </c>
      <c r="D5" s="8" t="s">
        <v>189</v>
      </c>
      <c r="E5" s="8" t="s">
        <v>190</v>
      </c>
      <c r="F5" s="8" t="s">
        <v>191</v>
      </c>
      <c r="G5" s="8" t="s">
        <v>192</v>
      </c>
      <c r="H5" s="8" t="s">
        <v>193</v>
      </c>
      <c r="I5" s="8" t="s">
        <v>194</v>
      </c>
    </row>
    <row r="6" spans="1:9" x14ac:dyDescent="0.25">
      <c r="A6" s="12" t="s">
        <v>3</v>
      </c>
    </row>
    <row r="7" spans="1:9" x14ac:dyDescent="0.25">
      <c r="B7" s="6" t="s">
        <v>4</v>
      </c>
      <c r="C7" s="6" t="s">
        <v>5</v>
      </c>
      <c r="D7" s="6" t="s">
        <v>6</v>
      </c>
      <c r="E7" s="6" t="s">
        <v>7</v>
      </c>
      <c r="F7" s="9">
        <v>125</v>
      </c>
      <c r="G7" s="6" t="s">
        <v>8</v>
      </c>
      <c r="H7" s="6" t="s">
        <v>9</v>
      </c>
      <c r="I7" s="9">
        <v>31.25</v>
      </c>
    </row>
    <row r="8" spans="1:9" x14ac:dyDescent="0.25">
      <c r="B8" s="6" t="s">
        <v>10</v>
      </c>
      <c r="C8" s="6" t="s">
        <v>11</v>
      </c>
      <c r="D8" s="6" t="s">
        <v>6</v>
      </c>
      <c r="E8" s="6" t="s">
        <v>12</v>
      </c>
      <c r="F8" s="9">
        <v>125</v>
      </c>
      <c r="G8" s="6" t="s">
        <v>13</v>
      </c>
      <c r="H8" s="6" t="s">
        <v>9</v>
      </c>
      <c r="I8" s="9">
        <v>222.92</v>
      </c>
    </row>
    <row r="9" spans="1:9" x14ac:dyDescent="0.25">
      <c r="B9" s="6" t="s">
        <v>14</v>
      </c>
      <c r="C9" s="6" t="s">
        <v>11</v>
      </c>
      <c r="D9" s="6" t="s">
        <v>6</v>
      </c>
      <c r="E9" s="6" t="s">
        <v>15</v>
      </c>
      <c r="F9" s="9">
        <v>125</v>
      </c>
      <c r="G9" s="6" t="s">
        <v>16</v>
      </c>
      <c r="H9" s="6" t="s">
        <v>9</v>
      </c>
      <c r="I9" s="9">
        <v>479.17</v>
      </c>
    </row>
    <row r="10" spans="1:9" x14ac:dyDescent="0.25">
      <c r="B10" s="6" t="s">
        <v>17</v>
      </c>
      <c r="C10" s="6" t="s">
        <v>18</v>
      </c>
      <c r="D10" s="6" t="s">
        <v>6</v>
      </c>
      <c r="E10" s="6" t="s">
        <v>19</v>
      </c>
      <c r="F10" s="9">
        <v>125</v>
      </c>
      <c r="G10" s="6" t="s">
        <v>20</v>
      </c>
      <c r="H10" s="6" t="s">
        <v>9</v>
      </c>
      <c r="I10" s="9">
        <v>97.92</v>
      </c>
    </row>
    <row r="11" spans="1:9" x14ac:dyDescent="0.25">
      <c r="B11" s="6" t="s">
        <v>17</v>
      </c>
      <c r="C11" s="6" t="s">
        <v>18</v>
      </c>
      <c r="D11" s="6" t="s">
        <v>6</v>
      </c>
      <c r="E11" s="6" t="s">
        <v>21</v>
      </c>
      <c r="F11" s="9">
        <v>125</v>
      </c>
      <c r="G11" s="6" t="s">
        <v>22</v>
      </c>
      <c r="H11" s="6" t="s">
        <v>9</v>
      </c>
      <c r="I11" s="9">
        <v>104.17</v>
      </c>
    </row>
    <row r="12" spans="1:9" x14ac:dyDescent="0.25">
      <c r="B12" s="6" t="s">
        <v>23</v>
      </c>
      <c r="C12" s="6" t="s">
        <v>18</v>
      </c>
      <c r="D12" s="6" t="s">
        <v>6</v>
      </c>
      <c r="E12" s="6" t="s">
        <v>24</v>
      </c>
      <c r="F12" s="9">
        <v>125</v>
      </c>
      <c r="G12" s="6" t="s">
        <v>25</v>
      </c>
      <c r="H12" s="6" t="s">
        <v>9</v>
      </c>
      <c r="I12" s="9">
        <v>66.67</v>
      </c>
    </row>
    <row r="13" spans="1:9" x14ac:dyDescent="0.25">
      <c r="B13" s="6" t="s">
        <v>23</v>
      </c>
      <c r="C13" s="6" t="s">
        <v>18</v>
      </c>
      <c r="D13" s="6" t="s">
        <v>6</v>
      </c>
      <c r="E13" s="6" t="s">
        <v>26</v>
      </c>
      <c r="F13" s="9">
        <v>125</v>
      </c>
      <c r="G13" s="6" t="s">
        <v>27</v>
      </c>
      <c r="H13" s="6" t="s">
        <v>9</v>
      </c>
      <c r="I13" s="9">
        <v>20.83</v>
      </c>
    </row>
    <row r="14" spans="1:9" ht="23.25" x14ac:dyDescent="0.25">
      <c r="B14" s="6" t="s">
        <v>23</v>
      </c>
      <c r="C14" s="6" t="s">
        <v>18</v>
      </c>
      <c r="D14" s="6" t="s">
        <v>6</v>
      </c>
      <c r="E14" s="6" t="s">
        <v>28</v>
      </c>
      <c r="F14" s="9">
        <v>125</v>
      </c>
      <c r="G14" s="6" t="s">
        <v>29</v>
      </c>
      <c r="H14" s="6" t="s">
        <v>9</v>
      </c>
      <c r="I14" s="9">
        <v>220.83</v>
      </c>
    </row>
    <row r="15" spans="1:9" x14ac:dyDescent="0.25">
      <c r="B15" s="6" t="s">
        <v>23</v>
      </c>
      <c r="C15" s="6" t="s">
        <v>18</v>
      </c>
      <c r="D15" s="6" t="s">
        <v>6</v>
      </c>
      <c r="E15" s="6" t="s">
        <v>30</v>
      </c>
      <c r="F15" s="9">
        <v>125</v>
      </c>
      <c r="G15" s="6" t="s">
        <v>31</v>
      </c>
      <c r="H15" s="6" t="s">
        <v>9</v>
      </c>
      <c r="I15" s="9">
        <v>41.67</v>
      </c>
    </row>
    <row r="16" spans="1:9" x14ac:dyDescent="0.25">
      <c r="B16" s="6" t="s">
        <v>23</v>
      </c>
      <c r="C16" s="6" t="s">
        <v>18</v>
      </c>
      <c r="D16" s="6" t="s">
        <v>6</v>
      </c>
      <c r="E16" s="6" t="s">
        <v>32</v>
      </c>
      <c r="F16" s="9">
        <v>125</v>
      </c>
      <c r="G16" s="6" t="s">
        <v>33</v>
      </c>
      <c r="H16" s="6" t="s">
        <v>9</v>
      </c>
      <c r="I16" s="9">
        <v>183.33</v>
      </c>
    </row>
    <row r="17" spans="1:9" x14ac:dyDescent="0.25">
      <c r="B17" s="6" t="s">
        <v>34</v>
      </c>
      <c r="C17" s="6" t="s">
        <v>18</v>
      </c>
      <c r="D17" s="6" t="s">
        <v>6</v>
      </c>
      <c r="E17" s="6" t="s">
        <v>35</v>
      </c>
      <c r="F17" s="9">
        <v>125</v>
      </c>
      <c r="G17" s="6" t="s">
        <v>36</v>
      </c>
      <c r="H17" s="6" t="s">
        <v>9</v>
      </c>
      <c r="I17" s="9">
        <v>16.670000000000002</v>
      </c>
    </row>
    <row r="18" spans="1:9" x14ac:dyDescent="0.25">
      <c r="A18" s="13" t="s">
        <v>37</v>
      </c>
      <c r="G18" s="10" t="s">
        <v>38</v>
      </c>
      <c r="I18" s="11">
        <f>I7+I8+I9+I10+I11+I12+I13+I14+I15+I16+I17</f>
        <v>1485.43</v>
      </c>
    </row>
    <row r="19" spans="1:9" x14ac:dyDescent="0.25">
      <c r="A19" s="12" t="s">
        <v>39</v>
      </c>
    </row>
    <row r="20" spans="1:9" x14ac:dyDescent="0.25">
      <c r="B20" s="6" t="s">
        <v>40</v>
      </c>
      <c r="C20" s="6" t="s">
        <v>41</v>
      </c>
      <c r="D20" s="6" t="s">
        <v>6</v>
      </c>
      <c r="E20" s="6" t="s">
        <v>42</v>
      </c>
      <c r="F20" s="9">
        <v>125</v>
      </c>
      <c r="G20" s="6" t="s">
        <v>43</v>
      </c>
      <c r="H20" s="6" t="s">
        <v>9</v>
      </c>
      <c r="I20" s="9">
        <v>133.33000000000001</v>
      </c>
    </row>
    <row r="21" spans="1:9" x14ac:dyDescent="0.25">
      <c r="B21" s="6" t="s">
        <v>44</v>
      </c>
      <c r="C21" s="6" t="s">
        <v>41</v>
      </c>
      <c r="D21" s="6" t="s">
        <v>6</v>
      </c>
      <c r="E21" s="6" t="s">
        <v>45</v>
      </c>
      <c r="F21" s="9">
        <v>125</v>
      </c>
      <c r="G21" s="6" t="s">
        <v>46</v>
      </c>
      <c r="H21" s="6" t="s">
        <v>9</v>
      </c>
      <c r="I21" s="9">
        <v>25</v>
      </c>
    </row>
    <row r="22" spans="1:9" x14ac:dyDescent="0.25">
      <c r="B22" s="6" t="s">
        <v>47</v>
      </c>
      <c r="C22" s="6" t="s">
        <v>41</v>
      </c>
      <c r="D22" s="6" t="s">
        <v>6</v>
      </c>
      <c r="E22" s="6" t="s">
        <v>48</v>
      </c>
      <c r="F22" s="9">
        <v>125</v>
      </c>
      <c r="G22" s="6" t="s">
        <v>49</v>
      </c>
      <c r="H22" s="6" t="s">
        <v>9</v>
      </c>
      <c r="I22" s="9">
        <v>18.75</v>
      </c>
    </row>
    <row r="23" spans="1:9" ht="23.25" x14ac:dyDescent="0.25">
      <c r="B23" s="6" t="s">
        <v>47</v>
      </c>
      <c r="C23" s="6" t="s">
        <v>41</v>
      </c>
      <c r="D23" s="6" t="s">
        <v>6</v>
      </c>
      <c r="E23" s="6" t="s">
        <v>50</v>
      </c>
      <c r="F23" s="9">
        <v>125</v>
      </c>
      <c r="G23" s="6" t="s">
        <v>51</v>
      </c>
      <c r="H23" s="6" t="s">
        <v>9</v>
      </c>
      <c r="I23" s="9">
        <v>50</v>
      </c>
    </row>
    <row r="24" spans="1:9" x14ac:dyDescent="0.25">
      <c r="B24" s="6" t="s">
        <v>47</v>
      </c>
      <c r="C24" s="6" t="s">
        <v>52</v>
      </c>
      <c r="D24" s="6" t="s">
        <v>6</v>
      </c>
      <c r="E24" s="6" t="s">
        <v>53</v>
      </c>
      <c r="F24" s="9">
        <v>125</v>
      </c>
      <c r="G24" s="6" t="s">
        <v>54</v>
      </c>
      <c r="H24" s="6" t="s">
        <v>9</v>
      </c>
      <c r="I24" s="9">
        <v>72.92</v>
      </c>
    </row>
    <row r="25" spans="1:9" x14ac:dyDescent="0.25">
      <c r="B25" s="6" t="s">
        <v>55</v>
      </c>
      <c r="C25" s="6" t="s">
        <v>41</v>
      </c>
      <c r="D25" s="6" t="s">
        <v>6</v>
      </c>
      <c r="E25" s="6" t="s">
        <v>56</v>
      </c>
      <c r="F25" s="9">
        <v>125</v>
      </c>
      <c r="G25" s="6" t="s">
        <v>57</v>
      </c>
      <c r="H25" s="6" t="s">
        <v>9</v>
      </c>
      <c r="I25" s="9">
        <v>93.75</v>
      </c>
    </row>
    <row r="26" spans="1:9" x14ac:dyDescent="0.25">
      <c r="B26" s="6" t="s">
        <v>55</v>
      </c>
      <c r="C26" s="6" t="s">
        <v>41</v>
      </c>
      <c r="D26" s="6" t="s">
        <v>6</v>
      </c>
      <c r="E26" s="6" t="s">
        <v>58</v>
      </c>
      <c r="F26" s="9">
        <v>125</v>
      </c>
      <c r="G26" s="6" t="s">
        <v>31</v>
      </c>
      <c r="H26" s="6" t="s">
        <v>9</v>
      </c>
      <c r="I26" s="9">
        <v>41.67</v>
      </c>
    </row>
    <row r="27" spans="1:9" x14ac:dyDescent="0.25">
      <c r="B27" s="6" t="s">
        <v>59</v>
      </c>
      <c r="C27" s="6" t="s">
        <v>41</v>
      </c>
      <c r="D27" s="6" t="s">
        <v>6</v>
      </c>
      <c r="E27" s="6" t="s">
        <v>42</v>
      </c>
      <c r="F27" s="9">
        <v>125</v>
      </c>
      <c r="G27" s="6" t="s">
        <v>60</v>
      </c>
      <c r="H27" s="6" t="s">
        <v>9</v>
      </c>
      <c r="I27" s="9">
        <v>83.33</v>
      </c>
    </row>
    <row r="28" spans="1:9" x14ac:dyDescent="0.25">
      <c r="B28" s="6" t="s">
        <v>4</v>
      </c>
      <c r="C28" s="6" t="s">
        <v>41</v>
      </c>
      <c r="D28" s="6" t="s">
        <v>6</v>
      </c>
      <c r="E28" s="6" t="s">
        <v>61</v>
      </c>
      <c r="F28" s="9">
        <v>125</v>
      </c>
      <c r="G28" s="6" t="s">
        <v>62</v>
      </c>
      <c r="H28" s="6" t="s">
        <v>9</v>
      </c>
      <c r="I28" s="9">
        <v>10.42</v>
      </c>
    </row>
    <row r="29" spans="1:9" x14ac:dyDescent="0.25">
      <c r="B29" s="6" t="s">
        <v>4</v>
      </c>
      <c r="C29" s="6" t="s">
        <v>41</v>
      </c>
      <c r="D29" s="6" t="s">
        <v>6</v>
      </c>
      <c r="E29" s="6" t="s">
        <v>63</v>
      </c>
      <c r="F29" s="9">
        <v>125</v>
      </c>
      <c r="G29" s="6" t="s">
        <v>62</v>
      </c>
      <c r="H29" s="6" t="s">
        <v>9</v>
      </c>
      <c r="I29" s="9">
        <v>10.42</v>
      </c>
    </row>
    <row r="30" spans="1:9" x14ac:dyDescent="0.25">
      <c r="B30" s="6" t="s">
        <v>64</v>
      </c>
      <c r="C30" s="6" t="s">
        <v>41</v>
      </c>
      <c r="D30" s="6" t="s">
        <v>6</v>
      </c>
      <c r="E30" s="6" t="s">
        <v>65</v>
      </c>
      <c r="F30" s="9">
        <v>125</v>
      </c>
      <c r="G30" s="6" t="s">
        <v>66</v>
      </c>
      <c r="H30" s="6" t="s">
        <v>9</v>
      </c>
      <c r="I30" s="9">
        <v>14.58</v>
      </c>
    </row>
    <row r="31" spans="1:9" x14ac:dyDescent="0.25">
      <c r="B31" s="6" t="s">
        <v>67</v>
      </c>
      <c r="C31" s="6" t="s">
        <v>41</v>
      </c>
      <c r="D31" s="6" t="s">
        <v>6</v>
      </c>
      <c r="E31" s="6" t="s">
        <v>68</v>
      </c>
      <c r="F31" s="9">
        <v>125</v>
      </c>
      <c r="G31" s="6" t="s">
        <v>69</v>
      </c>
      <c r="H31" s="6" t="s">
        <v>9</v>
      </c>
      <c r="I31" s="9">
        <v>62.5</v>
      </c>
    </row>
    <row r="32" spans="1:9" x14ac:dyDescent="0.25">
      <c r="B32" s="6" t="s">
        <v>70</v>
      </c>
      <c r="C32" s="6" t="s">
        <v>41</v>
      </c>
      <c r="D32" s="6" t="s">
        <v>6</v>
      </c>
      <c r="E32" s="6" t="s">
        <v>42</v>
      </c>
      <c r="F32" s="9">
        <v>125</v>
      </c>
      <c r="G32" s="6" t="s">
        <v>71</v>
      </c>
      <c r="H32" s="6" t="s">
        <v>9</v>
      </c>
      <c r="I32" s="9">
        <v>114.58</v>
      </c>
    </row>
    <row r="33" spans="1:9" x14ac:dyDescent="0.25">
      <c r="B33" s="6" t="s">
        <v>72</v>
      </c>
      <c r="C33" s="6" t="s">
        <v>52</v>
      </c>
      <c r="D33" s="6" t="s">
        <v>6</v>
      </c>
      <c r="E33" s="6" t="s">
        <v>73</v>
      </c>
      <c r="F33" s="9">
        <v>125</v>
      </c>
      <c r="G33" s="6" t="s">
        <v>31</v>
      </c>
      <c r="H33" s="6" t="s">
        <v>9</v>
      </c>
      <c r="I33" s="9">
        <v>41.67</v>
      </c>
    </row>
    <row r="34" spans="1:9" x14ac:dyDescent="0.25">
      <c r="B34" s="6" t="s">
        <v>72</v>
      </c>
      <c r="C34" s="6" t="s">
        <v>41</v>
      </c>
      <c r="D34" s="6" t="s">
        <v>6</v>
      </c>
      <c r="E34" s="6" t="s">
        <v>74</v>
      </c>
      <c r="F34" s="9">
        <v>125</v>
      </c>
      <c r="G34" s="6" t="s">
        <v>75</v>
      </c>
      <c r="H34" s="6" t="s">
        <v>9</v>
      </c>
      <c r="I34" s="9">
        <v>189.58</v>
      </c>
    </row>
    <row r="35" spans="1:9" x14ac:dyDescent="0.25">
      <c r="B35" s="6" t="s">
        <v>17</v>
      </c>
      <c r="C35" s="6" t="s">
        <v>41</v>
      </c>
      <c r="D35" s="6" t="s">
        <v>6</v>
      </c>
      <c r="E35" s="6" t="s">
        <v>76</v>
      </c>
      <c r="F35" s="9">
        <v>125</v>
      </c>
      <c r="G35" s="6" t="s">
        <v>77</v>
      </c>
      <c r="H35" s="6" t="s">
        <v>9</v>
      </c>
      <c r="I35" s="9">
        <v>22.92</v>
      </c>
    </row>
    <row r="36" spans="1:9" x14ac:dyDescent="0.25">
      <c r="B36" s="6" t="s">
        <v>17</v>
      </c>
      <c r="C36" s="6" t="s">
        <v>41</v>
      </c>
      <c r="D36" s="6" t="s">
        <v>6</v>
      </c>
      <c r="E36" s="6" t="s">
        <v>78</v>
      </c>
      <c r="F36" s="9">
        <v>125</v>
      </c>
      <c r="G36" s="6" t="s">
        <v>79</v>
      </c>
      <c r="H36" s="6" t="s">
        <v>9</v>
      </c>
      <c r="I36" s="9">
        <v>60.42</v>
      </c>
    </row>
    <row r="37" spans="1:9" x14ac:dyDescent="0.25">
      <c r="B37" s="6" t="s">
        <v>17</v>
      </c>
      <c r="C37" s="6" t="s">
        <v>41</v>
      </c>
      <c r="D37" s="6" t="s">
        <v>6</v>
      </c>
      <c r="E37" s="6" t="s">
        <v>80</v>
      </c>
      <c r="F37" s="9">
        <v>125</v>
      </c>
      <c r="G37" s="6" t="s">
        <v>60</v>
      </c>
      <c r="H37" s="6" t="s">
        <v>9</v>
      </c>
      <c r="I37" s="9">
        <v>83.33</v>
      </c>
    </row>
    <row r="38" spans="1:9" x14ac:dyDescent="0.25">
      <c r="B38" s="6" t="s">
        <v>81</v>
      </c>
      <c r="C38" s="6" t="s">
        <v>41</v>
      </c>
      <c r="D38" s="6" t="s">
        <v>6</v>
      </c>
      <c r="E38" s="6" t="s">
        <v>82</v>
      </c>
      <c r="F38" s="9">
        <v>125</v>
      </c>
      <c r="G38" s="6" t="s">
        <v>83</v>
      </c>
      <c r="H38" s="6" t="s">
        <v>9</v>
      </c>
      <c r="I38" s="9">
        <v>70.83</v>
      </c>
    </row>
    <row r="39" spans="1:9" x14ac:dyDescent="0.25">
      <c r="B39" s="6" t="s">
        <v>84</v>
      </c>
      <c r="C39" s="6" t="s">
        <v>41</v>
      </c>
      <c r="D39" s="6" t="s">
        <v>6</v>
      </c>
      <c r="E39" s="6" t="s">
        <v>85</v>
      </c>
      <c r="F39" s="9">
        <v>125</v>
      </c>
      <c r="G39" s="6" t="s">
        <v>66</v>
      </c>
      <c r="H39" s="6" t="s">
        <v>9</v>
      </c>
      <c r="I39" s="9">
        <v>14.58</v>
      </c>
    </row>
    <row r="40" spans="1:9" x14ac:dyDescent="0.25">
      <c r="B40" s="6" t="s">
        <v>86</v>
      </c>
      <c r="C40" s="6" t="s">
        <v>41</v>
      </c>
      <c r="D40" s="6" t="s">
        <v>6</v>
      </c>
      <c r="E40" s="6" t="s">
        <v>87</v>
      </c>
      <c r="F40" s="9">
        <v>125</v>
      </c>
      <c r="G40" s="6" t="s">
        <v>8</v>
      </c>
      <c r="H40" s="6" t="s">
        <v>9</v>
      </c>
      <c r="I40" s="9">
        <v>31.25</v>
      </c>
    </row>
    <row r="41" spans="1:9" x14ac:dyDescent="0.25">
      <c r="B41" s="6" t="s">
        <v>23</v>
      </c>
      <c r="C41" s="6" t="s">
        <v>41</v>
      </c>
      <c r="D41" s="6" t="s">
        <v>6</v>
      </c>
      <c r="E41" s="6" t="s">
        <v>88</v>
      </c>
      <c r="F41" s="9">
        <v>125</v>
      </c>
      <c r="G41" s="6" t="s">
        <v>77</v>
      </c>
      <c r="H41" s="6" t="s">
        <v>9</v>
      </c>
      <c r="I41" s="9">
        <v>22.92</v>
      </c>
    </row>
    <row r="42" spans="1:9" x14ac:dyDescent="0.25">
      <c r="B42" s="6" t="s">
        <v>23</v>
      </c>
      <c r="C42" s="6" t="s">
        <v>41</v>
      </c>
      <c r="D42" s="6" t="s">
        <v>6</v>
      </c>
      <c r="E42" s="6" t="s">
        <v>89</v>
      </c>
      <c r="F42" s="9">
        <v>125</v>
      </c>
      <c r="G42" s="6" t="s">
        <v>90</v>
      </c>
      <c r="H42" s="6" t="s">
        <v>9</v>
      </c>
      <c r="I42" s="9">
        <v>52.08</v>
      </c>
    </row>
    <row r="43" spans="1:9" x14ac:dyDescent="0.25">
      <c r="B43" s="6" t="s">
        <v>34</v>
      </c>
      <c r="C43" s="6" t="s">
        <v>41</v>
      </c>
      <c r="D43" s="6" t="s">
        <v>6</v>
      </c>
      <c r="E43" s="6" t="s">
        <v>91</v>
      </c>
      <c r="F43" s="9">
        <v>125</v>
      </c>
      <c r="G43" s="6" t="s">
        <v>69</v>
      </c>
      <c r="H43" s="6" t="s">
        <v>9</v>
      </c>
      <c r="I43" s="9">
        <v>62.5</v>
      </c>
    </row>
    <row r="44" spans="1:9" x14ac:dyDescent="0.25">
      <c r="B44" s="6" t="s">
        <v>92</v>
      </c>
      <c r="C44" s="6" t="s">
        <v>41</v>
      </c>
      <c r="D44" s="6" t="s">
        <v>6</v>
      </c>
      <c r="E44" s="6" t="s">
        <v>93</v>
      </c>
      <c r="F44" s="9">
        <v>125</v>
      </c>
      <c r="G44" s="6" t="s">
        <v>94</v>
      </c>
      <c r="H44" s="6" t="s">
        <v>9</v>
      </c>
      <c r="I44" s="9">
        <v>91.67</v>
      </c>
    </row>
    <row r="45" spans="1:9" x14ac:dyDescent="0.25">
      <c r="A45" s="13" t="s">
        <v>95</v>
      </c>
      <c r="G45" s="10" t="s">
        <v>96</v>
      </c>
      <c r="I45" s="11">
        <f>I20+I21+I22+I23+I24+I25+I26+I27+I28+I29+I30+I31+I32+I33+I34+I35+I36+I37+I38+I39+I40+I41+I42+I43+I44</f>
        <v>1474.9999999999998</v>
      </c>
    </row>
    <row r="46" spans="1:9" x14ac:dyDescent="0.25">
      <c r="A46" s="12" t="s">
        <v>97</v>
      </c>
    </row>
    <row r="47" spans="1:9" x14ac:dyDescent="0.25">
      <c r="B47" s="6" t="s">
        <v>40</v>
      </c>
      <c r="C47" s="6" t="s">
        <v>98</v>
      </c>
      <c r="D47" s="6" t="s">
        <v>6</v>
      </c>
      <c r="E47" s="6" t="s">
        <v>99</v>
      </c>
      <c r="F47" s="9">
        <v>125</v>
      </c>
      <c r="G47" s="6" t="s">
        <v>27</v>
      </c>
      <c r="H47" s="6" t="s">
        <v>9</v>
      </c>
      <c r="I47" s="9">
        <v>20.83</v>
      </c>
    </row>
    <row r="48" spans="1:9" x14ac:dyDescent="0.25">
      <c r="B48" s="6" t="s">
        <v>40</v>
      </c>
      <c r="C48" s="6" t="s">
        <v>98</v>
      </c>
      <c r="D48" s="6" t="s">
        <v>6</v>
      </c>
      <c r="E48" s="6" t="s">
        <v>100</v>
      </c>
      <c r="F48" s="9">
        <v>125</v>
      </c>
      <c r="G48" s="6" t="s">
        <v>27</v>
      </c>
      <c r="H48" s="6" t="s">
        <v>9</v>
      </c>
      <c r="I48" s="9">
        <v>20.83</v>
      </c>
    </row>
    <row r="49" spans="2:9" x14ac:dyDescent="0.25">
      <c r="B49" s="6" t="s">
        <v>101</v>
      </c>
      <c r="C49" s="6" t="s">
        <v>41</v>
      </c>
      <c r="D49" s="6" t="s">
        <v>6</v>
      </c>
      <c r="E49" s="6" t="s">
        <v>102</v>
      </c>
      <c r="F49" s="9">
        <v>125</v>
      </c>
      <c r="G49" s="6" t="s">
        <v>83</v>
      </c>
      <c r="H49" s="6" t="s">
        <v>9</v>
      </c>
      <c r="I49" s="9">
        <v>70.83</v>
      </c>
    </row>
    <row r="50" spans="2:9" x14ac:dyDescent="0.25">
      <c r="B50" s="6" t="s">
        <v>101</v>
      </c>
      <c r="C50" s="6" t="s">
        <v>41</v>
      </c>
      <c r="D50" s="6" t="s">
        <v>6</v>
      </c>
      <c r="E50" s="6" t="s">
        <v>103</v>
      </c>
      <c r="F50" s="9">
        <v>125</v>
      </c>
      <c r="G50" s="6" t="s">
        <v>104</v>
      </c>
      <c r="H50" s="6" t="s">
        <v>9</v>
      </c>
      <c r="I50" s="9">
        <v>33.33</v>
      </c>
    </row>
    <row r="51" spans="2:9" x14ac:dyDescent="0.25">
      <c r="B51" s="6" t="s">
        <v>101</v>
      </c>
      <c r="C51" s="6" t="s">
        <v>41</v>
      </c>
      <c r="D51" s="6" t="s">
        <v>6</v>
      </c>
      <c r="E51" s="6" t="s">
        <v>105</v>
      </c>
      <c r="F51" s="9">
        <v>125</v>
      </c>
      <c r="G51" s="6" t="s">
        <v>106</v>
      </c>
      <c r="H51" s="6" t="s">
        <v>9</v>
      </c>
      <c r="I51" s="9">
        <v>95.83</v>
      </c>
    </row>
    <row r="52" spans="2:9" x14ac:dyDescent="0.25">
      <c r="B52" s="6" t="s">
        <v>101</v>
      </c>
      <c r="C52" s="6" t="s">
        <v>98</v>
      </c>
      <c r="D52" s="6" t="s">
        <v>6</v>
      </c>
      <c r="E52" s="6" t="s">
        <v>107</v>
      </c>
      <c r="F52" s="9">
        <v>125</v>
      </c>
      <c r="G52" s="6" t="s">
        <v>8</v>
      </c>
      <c r="H52" s="6" t="s">
        <v>9</v>
      </c>
      <c r="I52" s="9">
        <v>31.25</v>
      </c>
    </row>
    <row r="53" spans="2:9" x14ac:dyDescent="0.25">
      <c r="B53" s="6" t="s">
        <v>44</v>
      </c>
      <c r="C53" s="6" t="s">
        <v>98</v>
      </c>
      <c r="D53" s="6" t="s">
        <v>6</v>
      </c>
      <c r="E53" s="6" t="s">
        <v>100</v>
      </c>
      <c r="F53" s="9">
        <v>125</v>
      </c>
      <c r="G53" s="6" t="s">
        <v>108</v>
      </c>
      <c r="H53" s="6" t="s">
        <v>9</v>
      </c>
      <c r="I53" s="9">
        <v>8.19</v>
      </c>
    </row>
    <row r="54" spans="2:9" x14ac:dyDescent="0.25">
      <c r="B54" s="6" t="s">
        <v>109</v>
      </c>
      <c r="C54" s="6" t="s">
        <v>98</v>
      </c>
      <c r="D54" s="6" t="s">
        <v>6</v>
      </c>
      <c r="E54" s="6" t="s">
        <v>110</v>
      </c>
      <c r="F54" s="9">
        <v>125</v>
      </c>
      <c r="G54" s="6" t="s">
        <v>111</v>
      </c>
      <c r="H54" s="6" t="s">
        <v>9</v>
      </c>
      <c r="I54" s="9">
        <v>143.75</v>
      </c>
    </row>
    <row r="55" spans="2:9" x14ac:dyDescent="0.25">
      <c r="B55" s="6" t="s">
        <v>109</v>
      </c>
      <c r="C55" s="6" t="s">
        <v>41</v>
      </c>
      <c r="D55" s="6" t="s">
        <v>6</v>
      </c>
      <c r="E55" s="6" t="s">
        <v>112</v>
      </c>
      <c r="F55" s="9">
        <v>125</v>
      </c>
      <c r="G55" s="6" t="s">
        <v>31</v>
      </c>
      <c r="H55" s="6" t="s">
        <v>9</v>
      </c>
      <c r="I55" s="9">
        <v>41.67</v>
      </c>
    </row>
    <row r="56" spans="2:9" x14ac:dyDescent="0.25">
      <c r="B56" s="6" t="s">
        <v>47</v>
      </c>
      <c r="C56" s="6" t="s">
        <v>98</v>
      </c>
      <c r="D56" s="6" t="s">
        <v>6</v>
      </c>
      <c r="E56" s="6" t="s">
        <v>113</v>
      </c>
      <c r="F56" s="9">
        <v>125</v>
      </c>
      <c r="G56" s="6" t="s">
        <v>114</v>
      </c>
      <c r="H56" s="6" t="s">
        <v>9</v>
      </c>
      <c r="I56" s="9">
        <v>131.25</v>
      </c>
    </row>
    <row r="57" spans="2:9" x14ac:dyDescent="0.25">
      <c r="B57" s="6" t="s">
        <v>47</v>
      </c>
      <c r="C57" s="6" t="s">
        <v>41</v>
      </c>
      <c r="D57" s="6" t="s">
        <v>6</v>
      </c>
      <c r="E57" s="6" t="s">
        <v>115</v>
      </c>
      <c r="F57" s="9">
        <v>125</v>
      </c>
      <c r="G57" s="6" t="s">
        <v>46</v>
      </c>
      <c r="H57" s="6" t="s">
        <v>9</v>
      </c>
      <c r="I57" s="9">
        <v>25</v>
      </c>
    </row>
    <row r="58" spans="2:9" x14ac:dyDescent="0.25">
      <c r="B58" s="6" t="s">
        <v>55</v>
      </c>
      <c r="C58" s="6" t="s">
        <v>41</v>
      </c>
      <c r="D58" s="6" t="s">
        <v>6</v>
      </c>
      <c r="E58" s="6" t="s">
        <v>116</v>
      </c>
      <c r="F58" s="9">
        <v>125</v>
      </c>
      <c r="G58" s="6" t="s">
        <v>79</v>
      </c>
      <c r="H58" s="6" t="s">
        <v>9</v>
      </c>
      <c r="I58" s="9">
        <v>60.42</v>
      </c>
    </row>
    <row r="59" spans="2:9" x14ac:dyDescent="0.25">
      <c r="B59" s="6" t="s">
        <v>55</v>
      </c>
      <c r="C59" s="6" t="s">
        <v>41</v>
      </c>
      <c r="D59" s="6" t="s">
        <v>6</v>
      </c>
      <c r="E59" s="6" t="s">
        <v>117</v>
      </c>
      <c r="F59" s="9">
        <v>125</v>
      </c>
      <c r="G59" s="6" t="s">
        <v>118</v>
      </c>
      <c r="H59" s="6" t="s">
        <v>9</v>
      </c>
      <c r="I59" s="9">
        <v>110.42</v>
      </c>
    </row>
    <row r="60" spans="2:9" x14ac:dyDescent="0.25">
      <c r="B60" s="6" t="s">
        <v>55</v>
      </c>
      <c r="C60" s="6" t="s">
        <v>98</v>
      </c>
      <c r="D60" s="6" t="s">
        <v>6</v>
      </c>
      <c r="E60" s="6" t="s">
        <v>119</v>
      </c>
      <c r="F60" s="9">
        <v>125</v>
      </c>
      <c r="G60" s="6" t="s">
        <v>120</v>
      </c>
      <c r="H60" s="6" t="s">
        <v>9</v>
      </c>
      <c r="I60" s="9">
        <v>252.08</v>
      </c>
    </row>
    <row r="61" spans="2:9" x14ac:dyDescent="0.25">
      <c r="B61" s="6" t="s">
        <v>59</v>
      </c>
      <c r="C61" s="6" t="s">
        <v>41</v>
      </c>
      <c r="D61" s="6" t="s">
        <v>6</v>
      </c>
      <c r="E61" s="6" t="s">
        <v>121</v>
      </c>
      <c r="F61" s="9">
        <v>125</v>
      </c>
      <c r="G61" s="6" t="s">
        <v>122</v>
      </c>
      <c r="H61" s="6" t="s">
        <v>9</v>
      </c>
      <c r="I61" s="9">
        <v>45.83</v>
      </c>
    </row>
    <row r="62" spans="2:9" x14ac:dyDescent="0.25">
      <c r="B62" s="6" t="s">
        <v>59</v>
      </c>
      <c r="C62" s="6" t="s">
        <v>98</v>
      </c>
      <c r="D62" s="6" t="s">
        <v>6</v>
      </c>
      <c r="E62" s="6" t="s">
        <v>123</v>
      </c>
      <c r="F62" s="9">
        <v>125</v>
      </c>
      <c r="G62" s="6" t="s">
        <v>124</v>
      </c>
      <c r="H62" s="6" t="s">
        <v>9</v>
      </c>
      <c r="I62" s="9">
        <v>12.5</v>
      </c>
    </row>
    <row r="63" spans="2:9" x14ac:dyDescent="0.25">
      <c r="B63" s="6" t="s">
        <v>59</v>
      </c>
      <c r="C63" s="6" t="s">
        <v>98</v>
      </c>
      <c r="D63" s="6" t="s">
        <v>6</v>
      </c>
      <c r="E63" s="6" t="s">
        <v>125</v>
      </c>
      <c r="F63" s="9">
        <v>125</v>
      </c>
      <c r="G63" s="6" t="s">
        <v>8</v>
      </c>
      <c r="H63" s="6" t="s">
        <v>9</v>
      </c>
      <c r="I63" s="9">
        <v>31.25</v>
      </c>
    </row>
    <row r="64" spans="2:9" x14ac:dyDescent="0.25">
      <c r="B64" s="6" t="s">
        <v>59</v>
      </c>
      <c r="C64" s="6" t="s">
        <v>41</v>
      </c>
      <c r="D64" s="6" t="s">
        <v>6</v>
      </c>
      <c r="E64" s="6" t="s">
        <v>126</v>
      </c>
      <c r="F64" s="9">
        <v>125</v>
      </c>
      <c r="G64" s="6" t="s">
        <v>127</v>
      </c>
      <c r="H64" s="6" t="s">
        <v>9</v>
      </c>
      <c r="I64" s="9">
        <v>154.16999999999999</v>
      </c>
    </row>
    <row r="65" spans="2:9" x14ac:dyDescent="0.25">
      <c r="B65" s="6" t="s">
        <v>59</v>
      </c>
      <c r="C65" s="6" t="s">
        <v>41</v>
      </c>
      <c r="D65" s="6" t="s">
        <v>6</v>
      </c>
      <c r="E65" s="6" t="s">
        <v>128</v>
      </c>
      <c r="F65" s="9">
        <v>125</v>
      </c>
      <c r="G65" s="6" t="s">
        <v>129</v>
      </c>
      <c r="H65" s="6" t="s">
        <v>9</v>
      </c>
      <c r="I65" s="9">
        <v>77.08</v>
      </c>
    </row>
    <row r="66" spans="2:9" x14ac:dyDescent="0.25">
      <c r="B66" s="6" t="s">
        <v>4</v>
      </c>
      <c r="C66" s="6" t="s">
        <v>41</v>
      </c>
      <c r="D66" s="6" t="s">
        <v>6</v>
      </c>
      <c r="E66" s="6" t="s">
        <v>130</v>
      </c>
      <c r="F66" s="9">
        <v>125</v>
      </c>
      <c r="G66" s="6" t="s">
        <v>122</v>
      </c>
      <c r="H66" s="6" t="s">
        <v>9</v>
      </c>
      <c r="I66" s="9">
        <v>45.83</v>
      </c>
    </row>
    <row r="67" spans="2:9" x14ac:dyDescent="0.25">
      <c r="B67" s="6" t="s">
        <v>4</v>
      </c>
      <c r="C67" s="6" t="s">
        <v>98</v>
      </c>
      <c r="D67" s="6" t="s">
        <v>6</v>
      </c>
      <c r="E67" s="6" t="s">
        <v>131</v>
      </c>
      <c r="F67" s="9">
        <v>125</v>
      </c>
      <c r="G67" s="6" t="s">
        <v>132</v>
      </c>
      <c r="H67" s="6" t="s">
        <v>9</v>
      </c>
      <c r="I67" s="9">
        <v>37.5</v>
      </c>
    </row>
    <row r="68" spans="2:9" x14ac:dyDescent="0.25">
      <c r="B68" s="6" t="s">
        <v>64</v>
      </c>
      <c r="C68" s="6" t="s">
        <v>98</v>
      </c>
      <c r="D68" s="6" t="s">
        <v>6</v>
      </c>
      <c r="E68" s="6" t="s">
        <v>133</v>
      </c>
      <c r="F68" s="9">
        <v>125</v>
      </c>
      <c r="G68" s="6" t="s">
        <v>134</v>
      </c>
      <c r="H68" s="6" t="s">
        <v>9</v>
      </c>
      <c r="I68" s="9">
        <v>116.67</v>
      </c>
    </row>
    <row r="69" spans="2:9" x14ac:dyDescent="0.25">
      <c r="B69" s="6" t="s">
        <v>67</v>
      </c>
      <c r="C69" s="6" t="s">
        <v>98</v>
      </c>
      <c r="D69" s="6" t="s">
        <v>6</v>
      </c>
      <c r="E69" s="6" t="s">
        <v>100</v>
      </c>
      <c r="F69" s="9">
        <v>125</v>
      </c>
      <c r="G69" s="6" t="s">
        <v>135</v>
      </c>
      <c r="H69" s="6" t="s">
        <v>9</v>
      </c>
      <c r="I69" s="9">
        <v>4.17</v>
      </c>
    </row>
    <row r="70" spans="2:9" x14ac:dyDescent="0.25">
      <c r="B70" s="6" t="s">
        <v>70</v>
      </c>
      <c r="C70" s="6" t="s">
        <v>52</v>
      </c>
      <c r="D70" s="6" t="s">
        <v>6</v>
      </c>
      <c r="E70" s="6" t="s">
        <v>136</v>
      </c>
      <c r="F70" s="9">
        <v>125</v>
      </c>
      <c r="G70" s="6" t="s">
        <v>137</v>
      </c>
      <c r="H70" s="6" t="s">
        <v>9</v>
      </c>
      <c r="I70" s="9">
        <v>256.25</v>
      </c>
    </row>
    <row r="71" spans="2:9" x14ac:dyDescent="0.25">
      <c r="B71" s="6" t="s">
        <v>70</v>
      </c>
      <c r="C71" s="6" t="s">
        <v>52</v>
      </c>
      <c r="D71" s="6" t="s">
        <v>6</v>
      </c>
      <c r="E71" s="6" t="s">
        <v>138</v>
      </c>
      <c r="F71" s="9">
        <v>125</v>
      </c>
      <c r="G71" s="6" t="s">
        <v>8</v>
      </c>
      <c r="H71" s="6" t="s">
        <v>9</v>
      </c>
      <c r="I71" s="9">
        <v>31.25</v>
      </c>
    </row>
    <row r="72" spans="2:9" x14ac:dyDescent="0.25">
      <c r="B72" s="6" t="s">
        <v>70</v>
      </c>
      <c r="C72" s="6" t="s">
        <v>98</v>
      </c>
      <c r="D72" s="6" t="s">
        <v>6</v>
      </c>
      <c r="E72" s="6" t="s">
        <v>139</v>
      </c>
      <c r="F72" s="9">
        <v>125</v>
      </c>
      <c r="G72" s="6" t="s">
        <v>140</v>
      </c>
      <c r="H72" s="6" t="s">
        <v>9</v>
      </c>
      <c r="I72" s="9">
        <v>47.92</v>
      </c>
    </row>
    <row r="73" spans="2:9" ht="23.25" x14ac:dyDescent="0.25">
      <c r="B73" s="6" t="s">
        <v>141</v>
      </c>
      <c r="C73" s="6" t="s">
        <v>41</v>
      </c>
      <c r="D73" s="6" t="s">
        <v>6</v>
      </c>
      <c r="E73" s="6" t="s">
        <v>142</v>
      </c>
      <c r="F73" s="9">
        <v>125</v>
      </c>
      <c r="G73" s="6" t="s">
        <v>143</v>
      </c>
      <c r="H73" s="6" t="s">
        <v>9</v>
      </c>
      <c r="I73" s="9">
        <v>283.33</v>
      </c>
    </row>
    <row r="74" spans="2:9" x14ac:dyDescent="0.25">
      <c r="B74" s="6" t="s">
        <v>141</v>
      </c>
      <c r="C74" s="6" t="s">
        <v>98</v>
      </c>
      <c r="D74" s="6" t="s">
        <v>6</v>
      </c>
      <c r="E74" s="6" t="s">
        <v>144</v>
      </c>
      <c r="F74" s="9">
        <v>125</v>
      </c>
      <c r="G74" s="6" t="s">
        <v>49</v>
      </c>
      <c r="H74" s="6" t="s">
        <v>9</v>
      </c>
      <c r="I74" s="9">
        <v>18.75</v>
      </c>
    </row>
    <row r="75" spans="2:9" x14ac:dyDescent="0.25">
      <c r="B75" s="6" t="s">
        <v>141</v>
      </c>
      <c r="C75" s="6" t="s">
        <v>98</v>
      </c>
      <c r="D75" s="6" t="s">
        <v>6</v>
      </c>
      <c r="E75" s="6" t="s">
        <v>145</v>
      </c>
      <c r="F75" s="9">
        <v>125</v>
      </c>
      <c r="G75" s="6" t="s">
        <v>146</v>
      </c>
      <c r="H75" s="6" t="s">
        <v>9</v>
      </c>
      <c r="I75" s="9">
        <v>75</v>
      </c>
    </row>
    <row r="76" spans="2:9" x14ac:dyDescent="0.25">
      <c r="B76" s="6" t="s">
        <v>10</v>
      </c>
      <c r="C76" s="6" t="s">
        <v>41</v>
      </c>
      <c r="D76" s="6" t="s">
        <v>6</v>
      </c>
      <c r="E76" s="6" t="s">
        <v>147</v>
      </c>
      <c r="F76" s="9">
        <v>125</v>
      </c>
      <c r="G76" s="6" t="s">
        <v>27</v>
      </c>
      <c r="H76" s="6" t="s">
        <v>9</v>
      </c>
      <c r="I76" s="9">
        <v>20.83</v>
      </c>
    </row>
    <row r="77" spans="2:9" x14ac:dyDescent="0.25">
      <c r="B77" s="6" t="s">
        <v>10</v>
      </c>
      <c r="C77" s="6" t="s">
        <v>41</v>
      </c>
      <c r="D77" s="6" t="s">
        <v>6</v>
      </c>
      <c r="E77" s="6" t="s">
        <v>148</v>
      </c>
      <c r="F77" s="9">
        <v>125</v>
      </c>
      <c r="G77" s="6" t="s">
        <v>149</v>
      </c>
      <c r="H77" s="6" t="s">
        <v>9</v>
      </c>
      <c r="I77" s="9">
        <v>54.17</v>
      </c>
    </row>
    <row r="78" spans="2:9" x14ac:dyDescent="0.25">
      <c r="B78" s="6" t="s">
        <v>10</v>
      </c>
      <c r="C78" s="6" t="s">
        <v>41</v>
      </c>
      <c r="D78" s="6" t="s">
        <v>6</v>
      </c>
      <c r="E78" s="6" t="s">
        <v>150</v>
      </c>
      <c r="F78" s="9">
        <v>125</v>
      </c>
      <c r="G78" s="6" t="s">
        <v>46</v>
      </c>
      <c r="H78" s="6" t="s">
        <v>9</v>
      </c>
      <c r="I78" s="9">
        <v>25</v>
      </c>
    </row>
    <row r="79" spans="2:9" x14ac:dyDescent="0.25">
      <c r="B79" s="6" t="s">
        <v>151</v>
      </c>
      <c r="C79" s="6" t="s">
        <v>98</v>
      </c>
      <c r="D79" s="6" t="s">
        <v>6</v>
      </c>
      <c r="E79" s="6" t="s">
        <v>152</v>
      </c>
      <c r="F79" s="9">
        <v>125</v>
      </c>
      <c r="G79" s="6" t="s">
        <v>153</v>
      </c>
      <c r="H79" s="6" t="s">
        <v>9</v>
      </c>
      <c r="I79" s="9">
        <v>266.67</v>
      </c>
    </row>
    <row r="80" spans="2:9" x14ac:dyDescent="0.25">
      <c r="B80" s="6" t="s">
        <v>14</v>
      </c>
      <c r="C80" s="6" t="s">
        <v>154</v>
      </c>
      <c r="D80" s="6" t="s">
        <v>6</v>
      </c>
      <c r="E80" s="6" t="s">
        <v>155</v>
      </c>
      <c r="F80" s="9">
        <v>125</v>
      </c>
      <c r="G80" s="6" t="s">
        <v>156</v>
      </c>
      <c r="H80" s="6" t="s">
        <v>9</v>
      </c>
      <c r="I80" s="9">
        <v>29.17</v>
      </c>
    </row>
    <row r="81" spans="2:9" x14ac:dyDescent="0.25">
      <c r="B81" s="6" t="s">
        <v>14</v>
      </c>
      <c r="C81" s="6" t="s">
        <v>41</v>
      </c>
      <c r="D81" s="6" t="s">
        <v>6</v>
      </c>
      <c r="E81" s="6" t="s">
        <v>157</v>
      </c>
      <c r="F81" s="9">
        <v>125</v>
      </c>
      <c r="G81" s="6" t="s">
        <v>66</v>
      </c>
      <c r="H81" s="6" t="s">
        <v>9</v>
      </c>
      <c r="I81" s="9">
        <v>14.58</v>
      </c>
    </row>
    <row r="82" spans="2:9" x14ac:dyDescent="0.25">
      <c r="B82" s="6" t="s">
        <v>14</v>
      </c>
      <c r="C82" s="6" t="s">
        <v>98</v>
      </c>
      <c r="D82" s="6" t="s">
        <v>6</v>
      </c>
      <c r="E82" s="6" t="s">
        <v>158</v>
      </c>
      <c r="F82" s="9">
        <v>125</v>
      </c>
      <c r="G82" s="6" t="s">
        <v>159</v>
      </c>
      <c r="H82" s="6" t="s">
        <v>9</v>
      </c>
      <c r="I82" s="9">
        <v>335.42</v>
      </c>
    </row>
    <row r="83" spans="2:9" x14ac:dyDescent="0.25">
      <c r="B83" s="6" t="s">
        <v>72</v>
      </c>
      <c r="C83" s="6" t="s">
        <v>41</v>
      </c>
      <c r="D83" s="6" t="s">
        <v>6</v>
      </c>
      <c r="E83" s="6" t="s">
        <v>160</v>
      </c>
      <c r="F83" s="9">
        <v>125</v>
      </c>
      <c r="G83" s="6" t="s">
        <v>161</v>
      </c>
      <c r="H83" s="6" t="s">
        <v>9</v>
      </c>
      <c r="I83" s="9">
        <v>150</v>
      </c>
    </row>
    <row r="84" spans="2:9" x14ac:dyDescent="0.25">
      <c r="B84" s="6" t="s">
        <v>72</v>
      </c>
      <c r="C84" s="6" t="s">
        <v>41</v>
      </c>
      <c r="D84" s="6" t="s">
        <v>6</v>
      </c>
      <c r="E84" s="6" t="s">
        <v>162</v>
      </c>
      <c r="F84" s="9">
        <v>125</v>
      </c>
      <c r="G84" s="6" t="s">
        <v>135</v>
      </c>
      <c r="H84" s="6" t="s">
        <v>9</v>
      </c>
      <c r="I84" s="9">
        <v>4.17</v>
      </c>
    </row>
    <row r="85" spans="2:9" x14ac:dyDescent="0.25">
      <c r="B85" s="6" t="s">
        <v>72</v>
      </c>
      <c r="C85" s="6" t="s">
        <v>41</v>
      </c>
      <c r="D85" s="6" t="s">
        <v>6</v>
      </c>
      <c r="E85" s="6" t="s">
        <v>163</v>
      </c>
      <c r="F85" s="9">
        <v>125</v>
      </c>
      <c r="G85" s="6" t="s">
        <v>164</v>
      </c>
      <c r="H85" s="6" t="s">
        <v>9</v>
      </c>
      <c r="I85" s="9">
        <v>43.75</v>
      </c>
    </row>
    <row r="86" spans="2:9" x14ac:dyDescent="0.25">
      <c r="B86" s="6" t="s">
        <v>81</v>
      </c>
      <c r="C86" s="6" t="s">
        <v>41</v>
      </c>
      <c r="D86" s="6" t="s">
        <v>6</v>
      </c>
      <c r="E86" s="6" t="s">
        <v>165</v>
      </c>
      <c r="F86" s="9">
        <v>125</v>
      </c>
      <c r="G86" s="6" t="s">
        <v>33</v>
      </c>
      <c r="H86" s="6" t="s">
        <v>9</v>
      </c>
      <c r="I86" s="9">
        <v>183.33</v>
      </c>
    </row>
    <row r="87" spans="2:9" ht="23.25" x14ac:dyDescent="0.25">
      <c r="B87" s="6" t="s">
        <v>84</v>
      </c>
      <c r="C87" s="6" t="s">
        <v>41</v>
      </c>
      <c r="D87" s="6" t="s">
        <v>6</v>
      </c>
      <c r="E87" s="6" t="s">
        <v>166</v>
      </c>
      <c r="F87" s="9">
        <v>125</v>
      </c>
      <c r="G87" s="6" t="s">
        <v>164</v>
      </c>
      <c r="H87" s="6" t="s">
        <v>9</v>
      </c>
      <c r="I87" s="9">
        <v>43.75</v>
      </c>
    </row>
    <row r="88" spans="2:9" ht="23.25" x14ac:dyDescent="0.25">
      <c r="B88" s="6" t="s">
        <v>84</v>
      </c>
      <c r="C88" s="6" t="s">
        <v>41</v>
      </c>
      <c r="D88" s="6" t="s">
        <v>6</v>
      </c>
      <c r="E88" s="6" t="s">
        <v>167</v>
      </c>
      <c r="F88" s="9">
        <v>125</v>
      </c>
      <c r="G88" s="6" t="s">
        <v>168</v>
      </c>
      <c r="H88" s="6" t="s">
        <v>9</v>
      </c>
      <c r="I88" s="9">
        <v>102.08</v>
      </c>
    </row>
    <row r="89" spans="2:9" x14ac:dyDescent="0.25">
      <c r="B89" s="6" t="s">
        <v>169</v>
      </c>
      <c r="C89" s="6" t="s">
        <v>41</v>
      </c>
      <c r="D89" s="6" t="s">
        <v>6</v>
      </c>
      <c r="E89" s="6" t="s">
        <v>170</v>
      </c>
      <c r="F89" s="9">
        <v>125</v>
      </c>
      <c r="G89" s="6" t="s">
        <v>124</v>
      </c>
      <c r="H89" s="6" t="s">
        <v>9</v>
      </c>
      <c r="I89" s="9">
        <v>12.5</v>
      </c>
    </row>
    <row r="90" spans="2:9" x14ac:dyDescent="0.25">
      <c r="B90" s="6" t="s">
        <v>86</v>
      </c>
      <c r="C90" s="6" t="s">
        <v>41</v>
      </c>
      <c r="D90" s="6" t="s">
        <v>6</v>
      </c>
      <c r="E90" s="6" t="s">
        <v>171</v>
      </c>
      <c r="F90" s="9">
        <v>125</v>
      </c>
      <c r="G90" s="6" t="s">
        <v>66</v>
      </c>
      <c r="H90" s="6" t="s">
        <v>9</v>
      </c>
      <c r="I90" s="9">
        <v>14.58</v>
      </c>
    </row>
    <row r="91" spans="2:9" x14ac:dyDescent="0.25">
      <c r="B91" s="6" t="s">
        <v>86</v>
      </c>
      <c r="C91" s="6" t="s">
        <v>41</v>
      </c>
      <c r="D91" s="6" t="s">
        <v>6</v>
      </c>
      <c r="E91" s="6" t="s">
        <v>172</v>
      </c>
      <c r="F91" s="9">
        <v>125</v>
      </c>
      <c r="G91" s="6" t="s">
        <v>27</v>
      </c>
      <c r="H91" s="6" t="s">
        <v>9</v>
      </c>
      <c r="I91" s="9">
        <v>20.83</v>
      </c>
    </row>
    <row r="92" spans="2:9" x14ac:dyDescent="0.25">
      <c r="B92" s="6" t="s">
        <v>86</v>
      </c>
      <c r="C92" s="6" t="s">
        <v>41</v>
      </c>
      <c r="D92" s="6" t="s">
        <v>6</v>
      </c>
      <c r="E92" s="6" t="s">
        <v>173</v>
      </c>
      <c r="F92" s="9">
        <v>125</v>
      </c>
      <c r="G92" s="6" t="s">
        <v>135</v>
      </c>
      <c r="H92" s="6" t="s">
        <v>9</v>
      </c>
      <c r="I92" s="9">
        <v>4.17</v>
      </c>
    </row>
    <row r="93" spans="2:9" x14ac:dyDescent="0.25">
      <c r="B93" s="6" t="s">
        <v>23</v>
      </c>
      <c r="C93" s="6" t="s">
        <v>41</v>
      </c>
      <c r="D93" s="6" t="s">
        <v>6</v>
      </c>
      <c r="E93" s="6" t="s">
        <v>174</v>
      </c>
      <c r="F93" s="9">
        <v>125</v>
      </c>
      <c r="G93" s="6" t="s">
        <v>108</v>
      </c>
      <c r="H93" s="6" t="s">
        <v>9</v>
      </c>
      <c r="I93" s="9">
        <v>8.33</v>
      </c>
    </row>
    <row r="94" spans="2:9" x14ac:dyDescent="0.25">
      <c r="B94" s="6" t="s">
        <v>34</v>
      </c>
      <c r="C94" s="6" t="s">
        <v>41</v>
      </c>
      <c r="D94" s="6" t="s">
        <v>6</v>
      </c>
      <c r="E94" s="6" t="s">
        <v>175</v>
      </c>
      <c r="F94" s="9">
        <v>125</v>
      </c>
      <c r="G94" s="6" t="s">
        <v>176</v>
      </c>
      <c r="H94" s="6" t="s">
        <v>9</v>
      </c>
      <c r="I94" s="9">
        <v>6.25</v>
      </c>
    </row>
    <row r="95" spans="2:9" x14ac:dyDescent="0.25">
      <c r="B95" s="6" t="s">
        <v>34</v>
      </c>
      <c r="C95" s="6" t="s">
        <v>41</v>
      </c>
      <c r="D95" s="6" t="s">
        <v>6</v>
      </c>
      <c r="E95" s="6" t="s">
        <v>177</v>
      </c>
      <c r="F95" s="9">
        <v>125</v>
      </c>
      <c r="G95" s="6" t="s">
        <v>77</v>
      </c>
      <c r="H95" s="6" t="s">
        <v>9</v>
      </c>
      <c r="I95" s="9">
        <v>22.92</v>
      </c>
    </row>
    <row r="96" spans="2:9" x14ac:dyDescent="0.25">
      <c r="B96" s="6" t="s">
        <v>92</v>
      </c>
      <c r="C96" s="6" t="s">
        <v>41</v>
      </c>
      <c r="D96" s="6" t="s">
        <v>6</v>
      </c>
      <c r="E96" s="6" t="s">
        <v>178</v>
      </c>
      <c r="F96" s="9">
        <v>125</v>
      </c>
      <c r="G96" s="6" t="s">
        <v>90</v>
      </c>
      <c r="H96" s="6" t="s">
        <v>9</v>
      </c>
      <c r="I96" s="9">
        <v>52.08</v>
      </c>
    </row>
    <row r="97" spans="1:9" x14ac:dyDescent="0.25">
      <c r="B97" s="6" t="s">
        <v>92</v>
      </c>
      <c r="C97" s="6" t="s">
        <v>98</v>
      </c>
      <c r="D97" s="6" t="s">
        <v>6</v>
      </c>
      <c r="E97" s="6" t="s">
        <v>179</v>
      </c>
      <c r="F97" s="9">
        <v>125</v>
      </c>
      <c r="G97" s="6" t="s">
        <v>180</v>
      </c>
      <c r="H97" s="6" t="s">
        <v>9</v>
      </c>
      <c r="I97" s="9">
        <v>122.92</v>
      </c>
    </row>
    <row r="98" spans="1:9" x14ac:dyDescent="0.25">
      <c r="B98" s="6" t="s">
        <v>92</v>
      </c>
      <c r="C98" s="6" t="s">
        <v>41</v>
      </c>
      <c r="D98" s="6" t="s">
        <v>6</v>
      </c>
      <c r="E98" s="6" t="s">
        <v>181</v>
      </c>
      <c r="F98" s="9">
        <v>125</v>
      </c>
      <c r="G98" s="6" t="s">
        <v>182</v>
      </c>
      <c r="H98" s="6" t="s">
        <v>9</v>
      </c>
      <c r="I98" s="9">
        <v>125</v>
      </c>
    </row>
    <row r="99" spans="1:9" x14ac:dyDescent="0.25">
      <c r="A99" s="13" t="s">
        <v>183</v>
      </c>
      <c r="G99" s="10" t="s">
        <v>184</v>
      </c>
      <c r="I99" s="11">
        <f>I47+I48+I49+I50+I51+I52+I53+I54+I55+I56+I57+I58+I59+I60+I61+I62+I63+I64+I65+I66+I67+I68+I69+I70+I71+I72+I73+I74+I75+I76+I77+I78+I79+I80+I81+I82+I83+I84+I85+I86+I87+I88+I89+I90+I91+I92+I93+I94+I95+I96+I97+I98</f>
        <v>3945.68</v>
      </c>
    </row>
    <row r="100" spans="1:9" x14ac:dyDescent="0.25">
      <c r="A100" s="14" t="s">
        <v>185</v>
      </c>
      <c r="G100" s="10" t="s">
        <v>186</v>
      </c>
      <c r="I100" s="11">
        <f>I18+I45+I99</f>
        <v>6906.11</v>
      </c>
    </row>
    <row r="104" spans="1:9" x14ac:dyDescent="0.25">
      <c r="A104" s="1" t="s">
        <v>195</v>
      </c>
      <c r="B104" s="4"/>
      <c r="C104" s="4"/>
      <c r="D104" s="4"/>
      <c r="E104" s="4"/>
      <c r="F104" s="4"/>
      <c r="G104" s="4"/>
      <c r="H104" s="4"/>
    </row>
  </sheetData>
  <mergeCells count="4">
    <mergeCell ref="A1:H1"/>
    <mergeCell ref="A2:H2"/>
    <mergeCell ref="A3:H3"/>
    <mergeCell ref="A104:H104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Lea Ann Sanford</cp:lastModifiedBy>
  <dcterms:created xsi:type="dcterms:W3CDTF">2022-03-24T08:55:57Z</dcterms:created>
  <dcterms:modified xsi:type="dcterms:W3CDTF">2026-05-13T16:42:37Z</dcterms:modified>
  <cp:category/>
</cp:coreProperties>
</file>